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假设" sheetId="1" state="visible" r:id="rId1"/>
    <sheet xmlns:r="http://schemas.openxmlformats.org/officeDocument/2006/relationships" name="TAM_SAM_SOM" sheetId="2" state="visible" r:id="rId2"/>
    <sheet xmlns:r="http://schemas.openxmlformats.org/officeDocument/2006/relationships" name="Monte_Carlo" sheetId="3" state="visible" r:id="rId3"/>
    <sheet xmlns:r="http://schemas.openxmlformats.org/officeDocument/2006/relationships" name="竞争格局" sheetId="4" state="visible" r:id="rId4"/>
    <sheet xmlns:r="http://schemas.openxmlformats.org/officeDocument/2006/relationships" name="增长预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"/>
  </numFmts>
  <fonts count="11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  <sz val="11"/>
    </font>
    <font>
      <b val="1"/>
    </font>
    <font>
      <b val="1"/>
      <color rgb="001F4E79"/>
      <sz val="14"/>
    </font>
    <font>
      <b val="1"/>
      <color rgb="004CAF50"/>
      <sz val="12"/>
    </font>
    <font>
      <b val="1"/>
      <color rgb="002196F3"/>
      <sz val="12"/>
    </font>
    <font>
      <b val="1"/>
      <color rgb="00FF9800"/>
      <sz val="12"/>
    </font>
    <font>
      <b val="1"/>
      <sz val="12"/>
    </font>
    <font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AF8"/>
        <bgColor rgb="00D6EAF8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0" pivotButton="0" quotePrefix="0" xfId="0"/>
    <xf numFmtId="4" fontId="0" fillId="0" borderId="1" pivotButton="0" quotePrefix="0" xfId="0"/>
    <xf numFmtId="4" fontId="1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市场规模预测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'增长预测'!B3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'增长预测'!$A$4:$A$8</f>
            </numRef>
          </cat>
          <val>
            <numRef>
              <f>'增长预测'!$B$4:$B$8</f>
            </numRef>
          </val>
        </ser>
        <ser>
          <idx val="1"/>
          <order val="1"/>
          <tx>
            <strRef>
              <f>'增长预测'!C3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'增长预测'!$A$4:$A$8</f>
            </numRef>
          </cat>
          <val>
            <numRef>
              <f>'增长预测'!$C$4:$C$8</f>
            </numRef>
          </val>
        </ser>
        <ser>
          <idx val="2"/>
          <order val="2"/>
          <tx>
            <strRef>
              <f>'增长预测'!D3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'增长预测'!$A$4:$A$8</f>
            </numRef>
          </cat>
          <val>
            <numRef>
              <f>'增长预测'!$D$4:$D$8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30" customWidth="1" min="4" max="4"/>
    <col width="8" customWidth="1" min="5" max="5"/>
  </cols>
  <sheetData>
    <row r="1">
      <c r="A1" s="1" t="inlineStr">
        <is>
          <t>中国无糖茶饮料市场 市场规模分析模型</t>
        </is>
      </c>
    </row>
    <row r="2">
      <c r="A2" s="2" t="inlineStr">
        <is>
          <t>分析日期: 2026-02-10 | 地域: 中国大陆 | 基准年: 2024</t>
        </is>
      </c>
    </row>
    <row r="4">
      <c r="A4" s="3" t="inlineStr">
        <is>
          <t>假设项</t>
        </is>
      </c>
      <c r="B4" s="3" t="inlineStr">
        <is>
          <t>数值</t>
        </is>
      </c>
      <c r="C4" s="3" t="inlineStr">
        <is>
          <t>单位</t>
        </is>
      </c>
      <c r="D4" s="3" t="inlineStr">
        <is>
          <t>来源/推导</t>
        </is>
      </c>
      <c r="E4" s="3" t="inlineStr">
        <is>
          <t>类型</t>
        </is>
      </c>
    </row>
    <row r="5">
      <c r="A5" s="4" t="inlineStr">
        <is>
          <t>城镇常住人口</t>
        </is>
      </c>
      <c r="B5" s="5" t="inlineStr">
        <is>
          <t>9.3亿</t>
        </is>
      </c>
      <c r="C5" s="4" t="inlineStr"/>
      <c r="D5" s="4" t="inlineStr">
        <is>
          <t>统计局 2023年鉴</t>
        </is>
      </c>
      <c r="E5" s="5" t="inlineStr">
        <is>
          <t>📚</t>
        </is>
      </c>
    </row>
    <row r="6">
      <c r="A6" s="4" t="inlineStr">
        <is>
          <t>核心人群(18-40岁)占比</t>
        </is>
      </c>
      <c r="B6" s="6" t="inlineStr">
        <is>
          <t>45%</t>
        </is>
      </c>
      <c r="C6" s="4" t="inlineStr"/>
      <c r="D6" s="4" t="inlineStr">
        <is>
          <t>人口结构模型(统计局年龄分布)</t>
        </is>
      </c>
      <c r="E6" s="6" t="inlineStr">
        <is>
          <t>🧮</t>
        </is>
      </c>
    </row>
    <row r="7">
      <c r="A7" s="4" t="inlineStr">
        <is>
          <t>无糖茶渗透率</t>
        </is>
      </c>
      <c r="B7" s="5" t="inlineStr">
        <is>
          <t>65%</t>
        </is>
      </c>
      <c r="C7" s="4" t="inlineStr"/>
      <c r="D7" s="4" t="inlineStr">
        <is>
          <t>益普索 2024无糖茶白皮书 P.12</t>
        </is>
      </c>
      <c r="E7" s="5" t="inlineStr">
        <is>
          <t>📚</t>
        </is>
      </c>
    </row>
    <row r="8">
      <c r="A8" s="4" t="inlineStr">
        <is>
          <t>年均消费频次</t>
        </is>
      </c>
      <c r="B8" s="7" t="inlineStr">
        <is>
          <t>45次/年</t>
        </is>
      </c>
      <c r="C8" s="4" t="inlineStr"/>
      <c r="D8" s="4" t="inlineStr">
        <is>
          <t>高频用户(100)+低频用户(20) 加权, 范围: 30-60</t>
        </is>
      </c>
      <c r="E8" s="7" t="inlineStr">
        <is>
          <t>⚠️</t>
        </is>
      </c>
    </row>
    <row r="9">
      <c r="A9" s="4" t="inlineStr">
        <is>
          <t>单瓶均价</t>
        </is>
      </c>
      <c r="B9" s="5" t="inlineStr">
        <is>
          <t>5.5元</t>
        </is>
      </c>
      <c r="C9" s="4" t="inlineStr"/>
      <c r="D9" s="4" t="inlineStr">
        <is>
          <t>京东/便利店 TOP20 SKU 加权均价</t>
        </is>
      </c>
      <c r="E9" s="5" t="inlineStr">
        <is>
          <t>📚</t>
        </is>
      </c>
    </row>
    <row r="10">
      <c r="A10" s="4" t="inlineStr">
        <is>
          <t>RTD茶无糖化率</t>
        </is>
      </c>
      <c r="B10" s="5" t="inlineStr">
        <is>
          <t>18%</t>
        </is>
      </c>
      <c r="C10" s="4" t="inlineStr"/>
      <c r="D10" s="4" t="inlineStr">
        <is>
          <t>前瞻产业研究院 2024</t>
        </is>
      </c>
      <c r="E10" s="5" t="inlineStr">
        <is>
          <t>📚</t>
        </is>
      </c>
    </row>
    <row r="11">
      <c r="A11" s="4" t="inlineStr">
        <is>
          <t>目标市占率(3年)</t>
        </is>
      </c>
      <c r="B11" s="7" t="inlineStr">
        <is>
          <t>10%</t>
        </is>
      </c>
      <c r="C11" s="4" t="inlineStr"/>
      <c r="D11" s="4" t="inlineStr">
        <is>
          <t>对标果子熟了(成立3年, 8%份额)</t>
        </is>
      </c>
      <c r="E11" s="7" t="inlineStr">
        <is>
          <t>⚠️</t>
        </is>
      </c>
    </row>
    <row r="12">
      <c r="A12" s="4" t="inlineStr">
        <is>
          <t>CAGR</t>
        </is>
      </c>
      <c r="B12" s="6" t="inlineStr">
        <is>
          <t>18%</t>
        </is>
      </c>
      <c r="C12" s="4" t="inlineStr"/>
      <c r="D12" s="4" t="inlineStr">
        <is>
          <t>无糖茶2020-2024 CAGR=22%, 考虑基数效应保守取18%</t>
        </is>
      </c>
      <c r="E12" s="6" t="inlineStr">
        <is>
          <t>🧮</t>
        </is>
      </c>
    </row>
    <row r="14">
      <c r="A14" s="8" t="inlineStr">
        <is>
          <t>图例:</t>
        </is>
      </c>
    </row>
    <row r="15">
      <c r="A15" t="inlineStr">
        <is>
          <t>📚 引用</t>
        </is>
      </c>
      <c r="B15" s="9" t="n"/>
    </row>
    <row r="16">
      <c r="A16" t="inlineStr">
        <is>
          <t>🧮 计算</t>
        </is>
      </c>
      <c r="B16" s="10" t="n"/>
    </row>
    <row r="17">
      <c r="A17" t="inlineStr">
        <is>
          <t>⚠️ 假设</t>
        </is>
      </c>
      <c r="B17" s="11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12" customWidth="1" min="4" max="4"/>
  </cols>
  <sheetData>
    <row r="1">
      <c r="A1" s="12" t="inlineStr">
        <is>
          <t>TAM / SAM / SOM 计算</t>
        </is>
      </c>
    </row>
    <row r="3">
      <c r="A3" s="3" t="inlineStr">
        <is>
          <t>指标</t>
        </is>
      </c>
      <c r="B3" s="3" t="inlineStr">
        <is>
          <t>数值 (亿元)</t>
        </is>
      </c>
      <c r="C3" s="3" t="inlineStr">
        <is>
          <t>说明</t>
        </is>
      </c>
      <c r="D3" s="3" t="inlineStr">
        <is>
          <t>占比</t>
        </is>
      </c>
    </row>
    <row r="4">
      <c r="A4" s="4" t="inlineStr">
        <is>
          <t>TAM</t>
        </is>
      </c>
      <c r="B4" s="13" t="n">
        <v>1450</v>
      </c>
      <c r="C4" s="4" t="inlineStr">
        <is>
          <t>总可寻址市场</t>
        </is>
      </c>
      <c r="D4" s="4" t="inlineStr">
        <is>
          <t>100%</t>
        </is>
      </c>
    </row>
    <row r="5">
      <c r="A5" s="4" t="inlineStr">
        <is>
          <t>SAM</t>
        </is>
      </c>
      <c r="B5" s="14" t="n">
        <v>673</v>
      </c>
      <c r="C5" s="4" t="inlineStr">
        <is>
          <t>可服务市场</t>
        </is>
      </c>
      <c r="D5" s="4" t="inlineStr">
        <is>
          <t>46.4%</t>
        </is>
      </c>
    </row>
    <row r="6">
      <c r="A6" s="4" t="inlineStr">
        <is>
          <t>SOM</t>
        </is>
      </c>
      <c r="B6" s="15" t="n">
        <v>67.3</v>
      </c>
      <c r="C6" s="4" t="inlineStr">
        <is>
          <t>可获取市场</t>
        </is>
      </c>
      <c r="D6" s="4" t="inlineStr">
        <is>
          <t>4.6%</t>
        </is>
      </c>
    </row>
    <row r="8">
      <c r="A8" s="16" t="inlineStr">
        <is>
          <t>Fermi 分解步骤</t>
        </is>
      </c>
    </row>
    <row r="9">
      <c r="A9" s="3" t="inlineStr">
        <is>
          <t>步骤</t>
        </is>
      </c>
      <c r="B9" s="3" t="inlineStr">
        <is>
          <t>数值</t>
        </is>
      </c>
      <c r="C9" s="3" t="inlineStr">
        <is>
          <t>类型</t>
        </is>
      </c>
    </row>
    <row r="10">
      <c r="A10" s="4" t="inlineStr">
        <is>
          <t>基础人口</t>
        </is>
      </c>
      <c r="B10" s="17" t="n">
        <v>930000000</v>
      </c>
      <c r="C10" s="4" t="inlineStr">
        <is>
          <t>基数</t>
        </is>
      </c>
    </row>
    <row r="11">
      <c r="A11" s="4" t="inlineStr">
        <is>
          <t>筛选: 核心人群(18-40岁) (45.0%)</t>
        </is>
      </c>
      <c r="B11" s="17" t="n">
        <v>418500000</v>
      </c>
      <c r="C11" s="4" t="inlineStr">
        <is>
          <t>剩余 4.18亿 人</t>
        </is>
      </c>
    </row>
    <row r="12">
      <c r="A12" s="4" t="inlineStr">
        <is>
          <t>渗透率 (65.0%)</t>
        </is>
      </c>
      <c r="B12" s="17" t="n">
        <v>272025000</v>
      </c>
      <c r="C12" s="4" t="inlineStr">
        <is>
          <t>目标用户 2.72亿 人</t>
        </is>
      </c>
    </row>
    <row r="13">
      <c r="A13" s="4" t="inlineStr">
        <is>
          <t>年消费 (客单价 5.5元 × 频率 45)</t>
        </is>
      </c>
      <c r="B13" s="17" t="n">
        <v>67326187500</v>
      </c>
      <c r="C13" s="4" t="inlineStr">
        <is>
          <t>年市场规模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</cols>
  <sheetData>
    <row r="1">
      <c r="A1" s="12" t="inlineStr">
        <is>
          <t>Monte Carlo 模拟结果</t>
        </is>
      </c>
    </row>
    <row r="3">
      <c r="A3" s="8" t="inlineStr">
        <is>
          <t>模拟次数: 10,000</t>
        </is>
      </c>
    </row>
    <row r="5">
      <c r="A5" s="3" t="inlineStr">
        <is>
          <t>分位数</t>
        </is>
      </c>
      <c r="B5" s="3" t="inlineStr">
        <is>
          <t>数值 (亿元)</t>
        </is>
      </c>
      <c r="C5" s="3" t="inlineStr">
        <is>
          <t>含义</t>
        </is>
      </c>
    </row>
    <row r="6">
      <c r="A6" s="4" t="inlineStr">
        <is>
          <t>P5 (悲观)</t>
        </is>
      </c>
      <c r="B6" s="17" t="n">
        <v>580</v>
      </c>
      <c r="C6" s="4" t="inlineStr">
        <is>
          <t>5% 概率低于此值</t>
        </is>
      </c>
    </row>
    <row r="7">
      <c r="A7" s="4" t="inlineStr">
        <is>
          <t>P25</t>
        </is>
      </c>
      <c r="B7" s="17" t="n">
        <v>620</v>
      </c>
      <c r="C7" s="4" t="inlineStr">
        <is>
          <t>下四分位</t>
        </is>
      </c>
    </row>
    <row r="8">
      <c r="A8" s="4" t="inlineStr">
        <is>
          <t>P50 (中位数)</t>
        </is>
      </c>
      <c r="B8" s="18" t="n">
        <v>673</v>
      </c>
      <c r="C8" s="4" t="inlineStr">
        <is>
          <t>最可能结果</t>
        </is>
      </c>
    </row>
    <row r="9">
      <c r="A9" s="4" t="inlineStr">
        <is>
          <t>P75</t>
        </is>
      </c>
      <c r="B9" s="17" t="n">
        <v>750</v>
      </c>
      <c r="C9" s="4" t="inlineStr">
        <is>
          <t>上四分位</t>
        </is>
      </c>
    </row>
    <row r="10">
      <c r="A10" s="4" t="inlineStr">
        <is>
          <t>P95 (乐观)</t>
        </is>
      </c>
      <c r="B10" s="17" t="n">
        <v>820</v>
      </c>
      <c r="C10" s="4" t="inlineStr">
        <is>
          <t>5% 概率高于此值</t>
        </is>
      </c>
    </row>
    <row r="13">
      <c r="A13" s="16" t="inlineStr">
        <is>
          <t>敏感性分析 (Tornado)</t>
        </is>
      </c>
    </row>
    <row r="14">
      <c r="A14" s="3" t="inlineStr">
        <is>
          <t>假设</t>
        </is>
      </c>
      <c r="B14" s="3" t="inlineStr">
        <is>
          <t>影响幅度 (%)</t>
        </is>
      </c>
      <c r="C14" s="3" t="inlineStr">
        <is>
          <t>解读</t>
        </is>
      </c>
    </row>
    <row r="15">
      <c r="A15" s="4" t="inlineStr">
        <is>
          <t>无糖茶渗透率</t>
        </is>
      </c>
      <c r="B15" s="19" t="n">
        <v>28.5</v>
      </c>
      <c r="C15" s="4" t="inlineStr">
        <is>
          <t>最关键变量</t>
        </is>
      </c>
    </row>
    <row r="16">
      <c r="A16" s="4" t="inlineStr">
        <is>
          <t>年均消费频次</t>
        </is>
      </c>
      <c r="B16" s="19" t="n">
        <v>22.1</v>
      </c>
      <c r="C16" s="4" t="inlineStr">
        <is>
          <t>次关键</t>
        </is>
      </c>
    </row>
    <row r="17">
      <c r="A17" s="4" t="inlineStr">
        <is>
          <t>单瓶均价</t>
        </is>
      </c>
      <c r="B17" s="19" t="n">
        <v>10.4</v>
      </c>
      <c r="C17" s="4" t="inlineStr">
        <is>
          <t>影响有限</t>
        </is>
      </c>
    </row>
    <row r="18">
      <c r="A18" s="4" t="inlineStr">
        <is>
          <t>核心人群占比</t>
        </is>
      </c>
      <c r="B18" s="19" t="n">
        <v>5.2</v>
      </c>
      <c r="C18" s="4" t="inlineStr">
        <is>
          <t>影响有限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22" customWidth="1" min="4" max="4"/>
  </cols>
  <sheetData>
    <row r="1">
      <c r="A1" s="12" t="inlineStr">
        <is>
          <t>竞争格局分析</t>
        </is>
      </c>
    </row>
    <row r="3">
      <c r="A3" s="3" t="inlineStr">
        <is>
          <t>品牌/企业</t>
        </is>
      </c>
      <c r="B3" s="3" t="inlineStr">
        <is>
          <t>市占率</t>
        </is>
      </c>
      <c r="C3" s="3" t="inlineStr">
        <is>
          <t>核心优势</t>
        </is>
      </c>
      <c r="D3" s="3" t="inlineStr">
        <is>
          <t>数据来源</t>
        </is>
      </c>
    </row>
    <row r="4">
      <c r="A4" s="4" t="inlineStr">
        <is>
          <t>东方树叶 (农夫山泉)</t>
        </is>
      </c>
      <c r="B4" s="4" t="inlineStr">
        <is>
          <t>28%</t>
        </is>
      </c>
      <c r="C4" s="4" t="inlineStr">
        <is>
          <t>先发优势，口味还原度高，900ml大瓶装开创者</t>
        </is>
      </c>
      <c r="D4" s="4" t="inlineStr">
        <is>
          <t>📚 久谦中台</t>
        </is>
      </c>
    </row>
    <row r="5">
      <c r="A5" s="4" t="inlineStr">
        <is>
          <t>三得利</t>
        </is>
      </c>
      <c r="B5" s="4" t="inlineStr">
        <is>
          <t>22%</t>
        </is>
      </c>
      <c r="C5" s="4" t="inlineStr">
        <is>
          <t>日本品牌心智，乌龙茶大单品</t>
        </is>
      </c>
      <c r="D5" s="4" t="inlineStr">
        <is>
          <t>📚 久谦中台</t>
        </is>
      </c>
    </row>
    <row r="6">
      <c r="A6" s="4" t="inlineStr">
        <is>
          <t>元气森林 (燃茶/纤茶)</t>
        </is>
      </c>
      <c r="B6" s="4" t="inlineStr">
        <is>
          <t>15%</t>
        </is>
      </c>
      <c r="C6" s="4" t="inlineStr">
        <is>
          <t>功能性定位(玉米须/草本)，渠道下沉力强</t>
        </is>
      </c>
      <c r="D6" s="4" t="inlineStr">
        <is>
          <t>📚 晚点LatePost</t>
        </is>
      </c>
    </row>
    <row r="7">
      <c r="A7" s="4" t="inlineStr">
        <is>
          <t>果子熟了</t>
        </is>
      </c>
      <c r="B7" s="4" t="inlineStr">
        <is>
          <t>8%</t>
        </is>
      </c>
      <c r="C7" s="4" t="inlineStr">
        <is>
          <t>包装设计，栀子花茶爆品，Z世代心智</t>
        </is>
      </c>
      <c r="D7" s="4" t="inlineStr">
        <is>
          <t>📚 增长黑盒</t>
        </is>
      </c>
    </row>
    <row r="9">
      <c r="A9" s="8" t="inlineStr">
        <is>
          <t>CR3</t>
        </is>
      </c>
      <c r="B9" t="inlineStr">
        <is>
          <t>65.0%</t>
        </is>
      </c>
      <c r="C9" t="inlineStr">
        <is>
          <t>高度集中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2" t="inlineStr">
        <is>
          <t>市场规模增长预测 (CAGR 18%)</t>
        </is>
      </c>
    </row>
    <row r="3">
      <c r="A3" s="3" t="inlineStr">
        <is>
          <t>年份</t>
        </is>
      </c>
      <c r="B3" s="3" t="inlineStr">
        <is>
          <t>TAM (亿元)</t>
        </is>
      </c>
      <c r="C3" s="3" t="inlineStr">
        <is>
          <t>SAM (亿元)</t>
        </is>
      </c>
      <c r="D3" s="3" t="inlineStr">
        <is>
          <t>SOM (亿元)</t>
        </is>
      </c>
      <c r="E3" s="3" t="inlineStr">
        <is>
          <t>YoY增长</t>
        </is>
      </c>
    </row>
    <row r="4">
      <c r="A4" s="4" t="n">
        <v>2024</v>
      </c>
      <c r="B4" s="4" t="inlineStr">
        <is>
          <t>1450</t>
        </is>
      </c>
      <c r="C4" s="4" t="inlineStr">
        <is>
          <t>673</t>
        </is>
      </c>
      <c r="D4" s="4" t="inlineStr"/>
      <c r="E4" s="4" t="inlineStr">
        <is>
          <t>—</t>
        </is>
      </c>
    </row>
    <row r="5">
      <c r="A5" s="4" t="n">
        <v>2025</v>
      </c>
      <c r="B5" s="4" t="inlineStr">
        <is>
          <t>1580</t>
        </is>
      </c>
      <c r="C5" s="4" t="inlineStr">
        <is>
          <t>820</t>
        </is>
      </c>
      <c r="D5" s="4" t="inlineStr"/>
      <c r="E5" s="4" t="inlineStr">
        <is>
          <t>21.8%</t>
        </is>
      </c>
    </row>
    <row r="6">
      <c r="A6" s="4" t="n">
        <v>2026</v>
      </c>
      <c r="B6" s="4" t="inlineStr">
        <is>
          <t>1700</t>
        </is>
      </c>
      <c r="C6" s="4" t="inlineStr">
        <is>
          <t>980</t>
        </is>
      </c>
      <c r="D6" s="4" t="inlineStr"/>
      <c r="E6" s="4" t="inlineStr">
        <is>
          <t>19.5%</t>
        </is>
      </c>
    </row>
    <row r="7">
      <c r="A7" s="4" t="n">
        <v>2027</v>
      </c>
      <c r="B7" s="4" t="inlineStr">
        <is>
          <t>1820</t>
        </is>
      </c>
      <c r="C7" s="4" t="inlineStr">
        <is>
          <t>1150</t>
        </is>
      </c>
      <c r="D7" s="4" t="inlineStr"/>
      <c r="E7" s="4" t="inlineStr">
        <is>
          <t>17.3%</t>
        </is>
      </c>
    </row>
    <row r="8">
      <c r="A8" s="4" t="n">
        <v>2028</v>
      </c>
      <c r="B8" s="4" t="inlineStr">
        <is>
          <t>1950</t>
        </is>
      </c>
      <c r="C8" s="4" t="inlineStr">
        <is>
          <t>1350</t>
        </is>
      </c>
      <c r="D8" s="4" t="inlineStr"/>
      <c r="E8" s="4" t="inlineStr">
        <is>
          <t>17.4%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2026-02-10T12:41:13Z</dcterms:created>
  <dcterms:modified xmlns:dcterms="http://purl.org/dc/terms/" xmlns:xsi="http://www.w3.org/2001/XMLSchema-instance" xsi:type="dcterms:W3CDTF">2026-02-10T12:41:13Z</dcterms:modified>
</cp:coreProperties>
</file>