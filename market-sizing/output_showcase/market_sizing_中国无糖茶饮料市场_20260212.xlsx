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假设" sheetId="1" state="visible" r:id="rId1"/>
    <sheet xmlns:r="http://schemas.openxmlformats.org/officeDocument/2006/relationships" name="Fermi_Calc" sheetId="2" state="visible" r:id="rId2"/>
    <sheet xmlns:r="http://schemas.openxmlformats.org/officeDocument/2006/relationships" name="Market_Size_Output" sheetId="3" state="visible" r:id="rId3"/>
    <sheet xmlns:r="http://schemas.openxmlformats.org/officeDocument/2006/relationships" name="Growth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30" customWidth="1" min="4" max="4"/>
    <col width="8" customWidth="1" min="5" max="5"/>
  </cols>
  <sheetData>
    <row r="1">
      <c r="A1" s="1" t="inlineStr">
        <is>
          <t>中国无糖茶饮料市场 — 市场规模模型</t>
        </is>
      </c>
    </row>
    <row r="2">
      <c r="A2" s="2" t="inlineStr">
        <is>
          <t>说明: 修改 B 列黄色单元格的数值，后续 Sheet 结果会自动更新。</t>
        </is>
      </c>
    </row>
    <row r="4">
      <c r="A4" s="3" t="inlineStr">
        <is>
          <t>假设项 (Key)</t>
        </is>
      </c>
      <c r="B4" s="3" t="inlineStr">
        <is>
          <t>数值 (Input)</t>
        </is>
      </c>
      <c r="C4" s="3" t="inlineStr">
        <is>
          <t>单位/说明</t>
        </is>
      </c>
      <c r="D4" s="3" t="inlineStr">
        <is>
          <t>来源</t>
        </is>
      </c>
      <c r="E4" s="3" t="inlineStr">
        <is>
          <t>类型</t>
        </is>
      </c>
    </row>
    <row r="5">
      <c r="A5" s="4" t="inlineStr">
        <is>
          <t>城镇常住人口</t>
        </is>
      </c>
      <c r="B5" s="5" t="n">
        <v>9.300000000000001</v>
      </c>
      <c r="C5" s="4" t="inlineStr">
        <is>
          <t>9.3亿</t>
        </is>
      </c>
      <c r="D5" s="4" t="inlineStr">
        <is>
          <t>统计局 2023年鉴</t>
        </is>
      </c>
      <c r="E5" s="4" t="inlineStr">
        <is>
          <t>📚</t>
        </is>
      </c>
    </row>
    <row r="6">
      <c r="A6" s="4" t="inlineStr">
        <is>
          <t>核心人群(18-40岁)占比</t>
        </is>
      </c>
      <c r="B6" s="6" t="n">
        <v>0.45</v>
      </c>
      <c r="C6" s="4" t="inlineStr">
        <is>
          <t>45%</t>
        </is>
      </c>
      <c r="D6" s="4" t="inlineStr">
        <is>
          <t>人口结构模型(统计局年龄分布)</t>
        </is>
      </c>
      <c r="E6" s="4" t="inlineStr">
        <is>
          <t>🧮</t>
        </is>
      </c>
    </row>
    <row r="7">
      <c r="A7" s="4" t="inlineStr">
        <is>
          <t>无糖茶渗透率</t>
        </is>
      </c>
      <c r="B7" s="6" t="n">
        <v>0.65</v>
      </c>
      <c r="C7" s="4" t="inlineStr">
        <is>
          <t>65%</t>
        </is>
      </c>
      <c r="D7" s="4" t="inlineStr">
        <is>
          <t>益普索 2024无糖茶白皮书 P.12</t>
        </is>
      </c>
      <c r="E7" s="4" t="inlineStr">
        <is>
          <t>📚</t>
        </is>
      </c>
    </row>
    <row r="8">
      <c r="A8" s="4" t="inlineStr">
        <is>
          <t>年均消费频次</t>
        </is>
      </c>
      <c r="B8" s="5" t="n">
        <v>45</v>
      </c>
      <c r="C8" s="4" t="inlineStr">
        <is>
          <t>45次/年</t>
        </is>
      </c>
      <c r="D8" s="4" t="inlineStr">
        <is>
          <t>高频用户(100)+低频用户(20) 加权, 范围: 30-60</t>
        </is>
      </c>
      <c r="E8" s="4" t="inlineStr">
        <is>
          <t>⚠️</t>
        </is>
      </c>
    </row>
    <row r="9">
      <c r="A9" s="4" t="inlineStr">
        <is>
          <t>单瓶均价</t>
        </is>
      </c>
      <c r="B9" s="5" t="n">
        <v>5.5</v>
      </c>
      <c r="C9" s="4" t="inlineStr">
        <is>
          <t>5.5元</t>
        </is>
      </c>
      <c r="D9" s="4" t="inlineStr">
        <is>
          <t>京东/便利店 TOP20 SKU 加权均价</t>
        </is>
      </c>
      <c r="E9" s="4" t="inlineStr">
        <is>
          <t>📚</t>
        </is>
      </c>
    </row>
    <row r="10">
      <c r="A10" s="4" t="inlineStr">
        <is>
          <t>RTD茶无糖化率</t>
        </is>
      </c>
      <c r="B10" s="6" t="n">
        <v>0.18</v>
      </c>
      <c r="C10" s="4" t="inlineStr">
        <is>
          <t>18%</t>
        </is>
      </c>
      <c r="D10" s="4" t="inlineStr">
        <is>
          <t>前瞻产业研究院 2024</t>
        </is>
      </c>
      <c r="E10" s="4" t="inlineStr">
        <is>
          <t>📚</t>
        </is>
      </c>
    </row>
    <row r="11">
      <c r="A11" s="4" t="inlineStr">
        <is>
          <t>目标市占率(3年)</t>
        </is>
      </c>
      <c r="B11" s="6" t="n">
        <v>0.1</v>
      </c>
      <c r="C11" s="4" t="inlineStr">
        <is>
          <t>10%</t>
        </is>
      </c>
      <c r="D11" s="4" t="inlineStr">
        <is>
          <t>对标果子熟了(成立3年, 8%份额)</t>
        </is>
      </c>
      <c r="E11" s="4" t="inlineStr">
        <is>
          <t>⚠️</t>
        </is>
      </c>
    </row>
    <row r="12">
      <c r="A12" s="4" t="inlineStr">
        <is>
          <t>CAGR</t>
        </is>
      </c>
      <c r="B12" s="6" t="n">
        <v>0.18</v>
      </c>
      <c r="C12" s="4" t="inlineStr">
        <is>
          <t>18%</t>
        </is>
      </c>
      <c r="D12" s="4" t="inlineStr">
        <is>
          <t>无糖茶2020-2024 CAGR=22%, 考虑基数效应保守取18%</t>
        </is>
      </c>
      <c r="E12" s="4" t="inlineStr">
        <is>
          <t>🧮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</cols>
  <sheetData>
    <row r="1">
      <c r="A1" s="1" t="inlineStr">
        <is>
          <t>Bottom-Up Fermi 计算过程</t>
        </is>
      </c>
    </row>
    <row r="3">
      <c r="A3" s="3" t="inlineStr">
        <is>
          <t>步骤</t>
        </is>
      </c>
      <c r="B3" s="3" t="inlineStr">
        <is>
          <t>说明</t>
        </is>
      </c>
      <c r="C3" s="3" t="inlineStr">
        <is>
          <t>数值/公式</t>
        </is>
      </c>
      <c r="D3" s="3" t="inlineStr">
        <is>
          <t>单位/备注</t>
        </is>
      </c>
    </row>
    <row r="4">
      <c r="A4" s="4" t="inlineStr">
        <is>
          <t>L1: 基础人口</t>
        </is>
      </c>
      <c r="B4" s="4" t="inlineStr">
        <is>
          <t>引用假设</t>
        </is>
      </c>
      <c r="C4" s="4">
        <f>'核心假设'!B5 * 100000000</f>
        <v/>
      </c>
      <c r="D4" s="4" t="inlineStr">
        <is>
          <t>人</t>
        </is>
      </c>
    </row>
    <row r="5">
      <c r="A5" s="4" t="inlineStr">
        <is>
          <t>L2: 核心人群</t>
        </is>
      </c>
      <c r="B5" s="4" t="inlineStr">
        <is>
          <t>× 人群占比</t>
        </is>
      </c>
      <c r="C5" s="4">
        <f>C4 * '核心假设'!B6</f>
        <v/>
      </c>
      <c r="D5" s="4" t="inlineStr">
        <is>
          <t>人</t>
        </is>
      </c>
    </row>
    <row r="6">
      <c r="A6" s="4" t="inlineStr">
        <is>
          <t>L3: 消费用户数</t>
        </is>
      </c>
      <c r="B6" s="4" t="inlineStr">
        <is>
          <t>× 渗透率</t>
        </is>
      </c>
      <c r="C6" s="4">
        <f>C5 * '核心假设'!B7</f>
        <v/>
      </c>
      <c r="D6" s="4" t="inlineStr">
        <is>
          <t>人</t>
        </is>
      </c>
    </row>
    <row r="7">
      <c r="A7" s="4" t="inlineStr">
        <is>
          <t>L4: 总消费瓶数</t>
        </is>
      </c>
      <c r="B7" s="4" t="inlineStr">
        <is>
          <t>× 频次</t>
        </is>
      </c>
      <c r="C7" s="4">
        <f>C6 * '核心假设'!B8</f>
        <v/>
      </c>
      <c r="D7" s="4" t="inlineStr">
        <is>
          <t>瓶</t>
        </is>
      </c>
    </row>
    <row r="8">
      <c r="A8" s="4" t="inlineStr">
        <is>
          <t>L5: 市场规模 (SAM)</t>
        </is>
      </c>
      <c r="B8" s="4" t="inlineStr">
        <is>
          <t>× 单价 (换算回亿元)</t>
        </is>
      </c>
      <c r="C8" s="7">
        <f>C7 * '核心假设'!B9 / 100000000</f>
        <v/>
      </c>
      <c r="D8" s="4" t="inlineStr">
        <is>
          <t>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30" customWidth="1" min="4" max="4"/>
  </cols>
  <sheetData>
    <row r="1">
      <c r="A1" s="1" t="inlineStr">
        <is>
          <t>TAM / SAM / SOM 结果看板</t>
        </is>
      </c>
    </row>
    <row r="3">
      <c r="A3" s="3" t="inlineStr">
        <is>
          <t>指标</t>
        </is>
      </c>
      <c r="B3" s="3" t="inlineStr">
        <is>
          <t>数值</t>
        </is>
      </c>
      <c r="C3" s="3" t="inlineStr">
        <is>
          <t>单位</t>
        </is>
      </c>
      <c r="D3" s="3" t="inlineStr">
        <is>
          <t>计算逻辑</t>
        </is>
      </c>
    </row>
    <row r="4">
      <c r="A4" s="4" t="inlineStr">
        <is>
          <t>TAM</t>
        </is>
      </c>
      <c r="B4" s="4" t="n">
        <v>1450</v>
      </c>
      <c r="C4" s="4" t="inlineStr">
        <is>
          <t>亿元</t>
        </is>
      </c>
      <c r="D4" s="4" t="inlineStr">
        <is>
          <t>Top-Down (静态值)</t>
        </is>
      </c>
    </row>
    <row r="5">
      <c r="A5" t="inlineStr">
        <is>
          <t>SAM</t>
        </is>
      </c>
      <c r="B5" s="8">
        <f>Fermi_Calc!C8</f>
        <v/>
      </c>
      <c r="C5" t="inlineStr">
        <is>
          <t>亿元</t>
        </is>
      </c>
      <c r="D5" t="inlineStr">
        <is>
          <t>引用 Fermi 计算结果</t>
        </is>
      </c>
    </row>
    <row r="6">
      <c r="A6" t="inlineStr">
        <is>
          <t>SOM</t>
        </is>
      </c>
      <c r="B6" s="8">
        <f>B5 * '核心假设'!B11</f>
        <v/>
      </c>
      <c r="C6" t="inlineStr">
        <is>
          <t>亿元</t>
        </is>
      </c>
      <c r="D6" t="inlineStr">
        <is>
          <t>SAM × 目标市占率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5年增长预测</t>
        </is>
      </c>
    </row>
    <row r="3">
      <c r="A3" s="3" t="inlineStr">
        <is>
          <t>年份</t>
        </is>
      </c>
      <c r="B3" s="3" t="inlineStr">
        <is>
          <t>TAM 预测</t>
        </is>
      </c>
      <c r="C3" s="3" t="inlineStr">
        <is>
          <t>SAM 预测</t>
        </is>
      </c>
      <c r="D3" s="3" t="inlineStr">
        <is>
          <t>计算逻辑</t>
        </is>
      </c>
    </row>
    <row r="4">
      <c r="A4" t="n">
        <v>2024</v>
      </c>
      <c r="B4">
        <f>Market_Size_Output!B4</f>
        <v/>
      </c>
      <c r="C4">
        <f>Market_Size_Output!B5</f>
        <v/>
      </c>
      <c r="D4" t="inlineStr">
        <is>
          <t>基准年</t>
        </is>
      </c>
    </row>
    <row r="5">
      <c r="A5" t="n">
        <v>2025</v>
      </c>
      <c r="B5" s="9">
        <f>B4 * (1 + '核心假设'!B12)</f>
        <v/>
      </c>
      <c r="C5" s="9">
        <f>C4 * (1 + '核心假设'!B12)</f>
        <v/>
      </c>
      <c r="D5" t="inlineStr">
        <is>
          <t>Previous × (1 + CAGR)</t>
        </is>
      </c>
    </row>
    <row r="6">
      <c r="A6" t="n">
        <v>2026</v>
      </c>
      <c r="B6" s="9">
        <f>B5 * (1 + '核心假设'!B12)</f>
        <v/>
      </c>
      <c r="C6" s="9">
        <f>C5 * (1 + '核心假设'!B12)</f>
        <v/>
      </c>
      <c r="D6" t="inlineStr">
        <is>
          <t>Previous × (1 + CAGR)</t>
        </is>
      </c>
    </row>
    <row r="7">
      <c r="A7" t="n">
        <v>2027</v>
      </c>
      <c r="B7" s="9">
        <f>B6 * (1 + '核心假设'!B12)</f>
        <v/>
      </c>
      <c r="C7" s="9">
        <f>C6 * (1 + '核心假设'!B12)</f>
        <v/>
      </c>
      <c r="D7" t="inlineStr">
        <is>
          <t>Previous × (1 + CAGR)</t>
        </is>
      </c>
    </row>
    <row r="8">
      <c r="A8" t="n">
        <v>2028</v>
      </c>
      <c r="B8" s="9">
        <f>B7 * (1 + '核心假设'!B12)</f>
        <v/>
      </c>
      <c r="C8" s="9">
        <f>C7 * (1 + '核心假设'!B12)</f>
        <v/>
      </c>
      <c r="D8" t="inlineStr">
        <is>
          <t>Previous × (1 + CAGR)</t>
        </is>
      </c>
    </row>
    <row r="9">
      <c r="A9" t="n">
        <v>2029</v>
      </c>
      <c r="B9" s="9">
        <f>B8 * (1 + '核心假设'!B12)</f>
        <v/>
      </c>
      <c r="C9" s="9">
        <f>C8 * (1 + '核心假设'!B12)</f>
        <v/>
      </c>
      <c r="D9" t="inlineStr">
        <is>
          <t>Previous × (1 + CAGR)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2026-02-12T03:06:57Z</dcterms:created>
  <dcterms:modified xmlns:dcterms="http://purl.org/dc/terms/" xmlns:xsi="http://www.w3.org/2001/XMLSchema-instance" xsi:type="dcterms:W3CDTF">2026-02-12T03:06:57Z</dcterms:modified>
</cp:coreProperties>
</file>